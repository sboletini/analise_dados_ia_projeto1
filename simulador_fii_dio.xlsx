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Configuracoes" sheetId="2" state="visible" r:id="rId2"/>
    <sheet xmlns:r="http://schemas.openxmlformats.org/officeDocument/2006/relationships" name="Apoio" sheetId="3" state="visible" r:id="rId3"/>
  </sheets>
  <definedNames>
    <definedName name="aporte">'Simulador'!$B$6</definedName>
    <definedName name="qtd_anos">'Simulador'!$B$7</definedName>
    <definedName name="taxa_mensal">'Simulador'!$B$8</definedName>
    <definedName name="patrimonio">'Simulador'!$B$12</definedName>
    <definedName name="salario">'Configuracoes'!$B$5</definedName>
    <definedName name="rendimento_carteira">'Configuracoes'!$B$6</definedName>
    <definedName name="sugestao_investimento">'Configuracoes'!$B$8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16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i val="1"/>
      <color rgb="00536575"/>
      <sz val="10"/>
    </font>
    <font>
      <b val="1"/>
      <color rgb="00FFFFFF"/>
      <sz val="11"/>
    </font>
    <font>
      <b val="1"/>
      <color rgb="00243746"/>
    </font>
    <font>
      <b val="1"/>
      <color rgb="0017324D"/>
    </font>
    <font>
      <i val="1"/>
      <color rgb="007F8C8D"/>
      <sz val="9"/>
    </font>
    <font>
      <b val="1"/>
      <color rgb="0016806A"/>
      <sz val="12"/>
    </font>
    <font>
      <b val="1"/>
      <color rgb="00FFFFFF"/>
      <sz val="10"/>
    </font>
    <font>
      <b val="1"/>
      <color rgb="00243746"/>
      <sz val="9"/>
    </font>
    <font>
      <b val="1"/>
      <color rgb="00FFFFFF"/>
    </font>
    <font>
      <b val="1"/>
      <color rgb="00FFFFFF"/>
      <sz val="9"/>
    </font>
    <font>
      <i val="1"/>
      <color rgb="006B7785"/>
      <sz val="9"/>
    </font>
    <font>
      <b val="1"/>
      <color rgb="00FFFFFF"/>
      <sz val="18"/>
    </font>
    <font>
      <b val="1"/>
      <color rgb="0016806A"/>
    </font>
    <font>
      <b val="1"/>
      <color rgb="00FFFFFF"/>
      <sz val="15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6806A"/>
      </patternFill>
    </fill>
    <fill>
      <patternFill patternType="solid">
        <fgColor rgb="00FFF2CC"/>
      </patternFill>
    </fill>
    <fill>
      <patternFill patternType="solid">
        <fgColor rgb="00E7EBEF"/>
      </patternFill>
    </fill>
    <fill>
      <patternFill patternType="solid">
        <fgColor rgb="006B5B95"/>
      </patternFill>
    </fill>
    <fill>
      <patternFill patternType="solid">
        <fgColor rgb="00F3F6F8"/>
      </patternFill>
    </fill>
    <fill>
      <patternFill patternType="solid">
        <fgColor rgb="00FFFFFF"/>
      </patternFill>
    </fill>
    <fill>
      <patternFill patternType="solid">
        <fgColor rgb="00DDF3E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D2DAE2"/>
      </bottom>
    </border>
    <border>
      <top style="medium">
        <color rgb="0016806A"/>
      </top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0" fontId="8" fillId="6" borderId="0" pivotButton="0" quotePrefix="0" xfId="0"/>
    <xf numFmtId="0" fontId="0" fillId="6" borderId="0" pivotButton="0" quotePrefix="0" xfId="0"/>
    <xf numFmtId="0" fontId="4" fillId="0" borderId="0" pivotButton="0" quotePrefix="0" xfId="0"/>
    <xf numFmtId="164" fontId="5" fillId="4" borderId="1" applyAlignment="1" pivotButton="0" quotePrefix="0" xfId="0">
      <alignment horizontal="center"/>
    </xf>
    <xf numFmtId="0" fontId="6" fillId="0" borderId="0" pivotButton="0" quotePrefix="0" xfId="0"/>
    <xf numFmtId="0" fontId="9" fillId="0" borderId="0" pivotButton="0" quotePrefix="0" xfId="0"/>
    <xf numFmtId="164" fontId="0" fillId="7" borderId="0" applyAlignment="1" pivotButton="0" quotePrefix="0" xfId="0">
      <alignment vertical="center" wrapText="1"/>
    </xf>
    <xf numFmtId="1" fontId="5" fillId="4" borderId="1" applyAlignment="1" pivotButton="0" quotePrefix="0" xfId="0">
      <alignment horizontal="center"/>
    </xf>
    <xf numFmtId="10" fontId="5" fillId="4" borderId="1" applyAlignment="1" pivotButton="0" quotePrefix="0" xfId="0">
      <alignment horizontal="center"/>
    </xf>
    <xf numFmtId="10" fontId="0" fillId="7" borderId="0" applyAlignment="1" pivotButton="0" quotePrefix="0" xfId="0">
      <alignment vertical="center" wrapText="1"/>
    </xf>
    <xf numFmtId="0" fontId="5" fillId="4" borderId="1" applyAlignment="1" pivotButton="0" quotePrefix="0" xfId="0">
      <alignment horizontal="center"/>
    </xf>
    <xf numFmtId="0" fontId="0" fillId="7" borderId="0" applyAlignment="1" pivotButton="0" quotePrefix="0" xfId="0">
      <alignment vertical="center" wrapText="1"/>
    </xf>
    <xf numFmtId="164" fontId="7" fillId="5" borderId="1" applyAlignment="1" pivotButton="0" quotePrefix="0" xfId="0">
      <alignment horizontal="right"/>
    </xf>
    <xf numFmtId="0" fontId="10" fillId="2" borderId="0" applyAlignment="1" pivotButton="0" quotePrefix="0" xfId="0">
      <alignment horizontal="center" wrapText="1"/>
    </xf>
    <xf numFmtId="0" fontId="0" fillId="8" borderId="1" applyAlignment="1" pivotButton="0" quotePrefix="0" xfId="0">
      <alignment vertical="center"/>
    </xf>
    <xf numFmtId="9" fontId="0" fillId="8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9" fontId="0" fillId="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5" fillId="9" borderId="2" pivotButton="0" quotePrefix="0" xfId="0"/>
    <xf numFmtId="9" fontId="5" fillId="9" borderId="2" pivotButton="0" quotePrefix="0" xfId="0"/>
    <xf numFmtId="164" fontId="5" fillId="9" borderId="2" pivotButton="0" quotePrefix="0" xfId="0"/>
    <xf numFmtId="0" fontId="11" fillId="2" borderId="0" applyAlignment="1" pivotButton="0" quotePrefix="0" xfId="0">
      <alignment horizontal="center" wrapText="1"/>
    </xf>
    <xf numFmtId="1" fontId="0" fillId="8" borderId="1" pivotButton="0" quotePrefix="0" xfId="0"/>
    <xf numFmtId="164" fontId="0" fillId="8" borderId="1" pivotButton="0" quotePrefix="0" xfId="0"/>
    <xf numFmtId="1" fontId="0" fillId="7" borderId="1" pivotButton="0" quotePrefix="0" xfId="0"/>
    <xf numFmtId="164" fontId="0" fillId="7" borderId="1" pivotButton="0" quotePrefix="0" xfId="0"/>
    <xf numFmtId="0" fontId="12" fillId="10" borderId="0" applyAlignment="1" pivotButton="0" quotePrefix="0" xfId="0">
      <alignment vertical="center" wrapText="1"/>
    </xf>
    <xf numFmtId="0" fontId="13" fillId="2" borderId="0" applyAlignment="1" pivotButton="0" quotePrefix="0" xfId="0">
      <alignment vertical="center" indent="1"/>
    </xf>
    <xf numFmtId="0" fontId="10" fillId="3" borderId="0" applyAlignment="1" pivotButton="0" quotePrefix="0" xfId="0">
      <alignment horizontal="center"/>
    </xf>
    <xf numFmtId="0" fontId="0" fillId="8" borderId="1" applyAlignment="1" pivotButton="0" quotePrefix="0" xfId="0">
      <alignment vertical="center" wrapText="1"/>
    </xf>
    <xf numFmtId="164" fontId="5" fillId="8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0" fontId="5" fillId="7" borderId="1" applyAlignment="1" pivotButton="0" quotePrefix="0" xfId="0">
      <alignment vertical="center" wrapText="1"/>
    </xf>
    <xf numFmtId="9" fontId="5" fillId="8" borderId="1" applyAlignment="1" pivotButton="0" quotePrefix="0" xfId="0">
      <alignment vertical="center" wrapText="1"/>
    </xf>
    <xf numFmtId="164" fontId="14" fillId="7" borderId="1" applyAlignment="1" pivotButton="0" quotePrefix="0" xfId="0">
      <alignment vertical="center" wrapText="1"/>
    </xf>
    <xf numFmtId="0" fontId="5" fillId="0" borderId="0" pivotButton="0" quotePrefix="0" xfId="0"/>
    <xf numFmtId="0" fontId="0" fillId="10" borderId="0" applyAlignment="1" pivotButton="0" quotePrefix="0" xfId="0">
      <alignment vertical="top" wrapText="1"/>
    </xf>
    <xf numFmtId="0" fontId="15" fillId="2" borderId="0" pivotButton="0" quotePrefix="0" xfId="0"/>
    <xf numFmtId="0" fontId="10" fillId="3" borderId="0" pivotButton="0" quotePrefix="0" xfId="0"/>
    <xf numFmtId="0" fontId="0" fillId="8" borderId="1" pivotButton="0" quotePrefix="0" xfId="0"/>
    <xf numFmtId="9" fontId="0" fillId="8" borderId="1" pivotButton="0" quotePrefix="0" xfId="0"/>
    <xf numFmtId="0" fontId="0" fillId="7" borderId="0" pivotButton="0" quotePrefix="0" xfId="0"/>
    <xf numFmtId="9" fontId="0" fillId="9" borderId="0" pivotButton="0" quotePrefix="0" xfId="0"/>
    <xf numFmtId="0" fontId="0" fillId="7" borderId="1" pivotButton="0" quotePrefix="0" xfId="0"/>
    <xf numFmtId="9" fontId="0" fillId="7" borderId="1" pivotButton="0" quotePrefix="0" xfId="0"/>
    <xf numFmtId="0" fontId="12" fillId="1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Composição do aporte mensal</a:t>
            </a:r>
          </a:p>
        </rich>
      </tx>
    </title>
    <plotArea>
      <pieChart>
        <varyColors val="1"/>
        <ser>
          <idx val="0"/>
          <order val="0"/>
          <tx>
            <strRef>
              <f>'Simulador'!C19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'Simulador'!$A$20:$A$25</f>
            </numRef>
          </cat>
          <val>
            <numRef>
              <f>'Simulador'!$C$20:$C$25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Patrimônio por horizonte</a:t>
            </a:r>
          </a:p>
        </rich>
      </tx>
    </title>
    <plotArea>
      <lineChart>
        <grouping val="standard"/>
        <ser>
          <idx val="0"/>
          <order val="0"/>
          <tx>
            <strRef>
              <f>'Simulador'!D30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'Simulador'!$A$31:$A$35</f>
            </numRef>
          </cat>
          <val>
            <numRef>
              <f>'Simulador'!$D$31:$D$35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Prazo (anos)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Patrimônio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10</row>
      <rowOff>0</rowOff>
    </from>
    <ext cx="36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432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19" customWidth="1" min="4" max="4"/>
    <col width="22" customWidth="1" min="5" max="5"/>
    <col width="4" customWidth="1" min="6" max="6"/>
    <col width="20" customWidth="1" min="7" max="7"/>
    <col width="20" customWidth="1" min="8" max="8"/>
  </cols>
  <sheetData>
    <row r="1" ht="27" customHeight="1">
      <c r="A1" s="1" t="inlineStr">
        <is>
          <t>SIMULADOR DE FUNDOS IMOBILIÁRIOS</t>
        </is>
      </c>
    </row>
    <row r="2" ht="22" customHeight="1"/>
    <row r="3">
      <c r="A3" s="3" t="inlineStr">
        <is>
          <t>Planejamento ilustrativo de aportes, patrimônio futuro e distribuição por perfil</t>
        </is>
      </c>
    </row>
    <row r="5">
      <c r="A5" s="4" t="inlineStr">
        <is>
          <t>PARÂMETROS DA SIMULAÇÃO</t>
        </is>
      </c>
      <c r="G5" s="6" t="inlineStr">
        <is>
          <t>CONFIGURAÇÕES DE REFERÊNCIA</t>
        </is>
      </c>
    </row>
    <row r="6">
      <c r="A6" s="8" t="inlineStr">
        <is>
          <t>Aporte mensal (R$)</t>
        </is>
      </c>
      <c r="B6" s="9" t="n">
        <v>200</v>
      </c>
      <c r="C6" s="10" t="inlineStr">
        <is>
          <t>Edite as células amarelas</t>
        </is>
      </c>
      <c r="G6" s="11" t="inlineStr">
        <is>
          <t>Salário de exemplo</t>
        </is>
      </c>
      <c r="H6" s="12">
        <f>salario</f>
        <v/>
      </c>
    </row>
    <row r="7">
      <c r="A7" s="8" t="inlineStr">
        <is>
          <t>Prazo (anos)</t>
        </is>
      </c>
      <c r="B7" s="13" t="n">
        <v>5</v>
      </c>
      <c r="C7" s="10" t="inlineStr">
        <is>
          <t>Use prazo de 1 a 50 anos</t>
        </is>
      </c>
      <c r="G7" s="11" t="inlineStr">
        <is>
          <t>Sugestão de aporte (30%)</t>
        </is>
      </c>
      <c r="H7" s="12">
        <f>sugestao_investimento</f>
        <v/>
      </c>
    </row>
    <row r="8">
      <c r="A8" s="8" t="inlineStr">
        <is>
          <t>Rendimento mensal estimado</t>
        </is>
      </c>
      <c r="B8" s="14" t="n">
        <v>0.01079</v>
      </c>
      <c r="C8" s="10" t="inlineStr">
        <is>
          <t>Taxa constante hipotética</t>
        </is>
      </c>
      <c r="G8" s="11" t="inlineStr">
        <is>
          <t>Rendimento da carteira</t>
        </is>
      </c>
      <c r="H8" s="15">
        <f>rendimento_carteira</f>
        <v/>
      </c>
    </row>
    <row r="9" ht="30" customHeight="1">
      <c r="A9" s="8" t="inlineStr">
        <is>
          <t>Perfil de distribuição</t>
        </is>
      </c>
      <c r="B9" s="16" t="inlineStr">
        <is>
          <t>Moderado</t>
        </is>
      </c>
      <c r="C9" s="10" t="inlineStr">
        <is>
          <t>A lista altera os percentuais</t>
        </is>
      </c>
      <c r="G9" s="11" t="inlineStr">
        <is>
          <t>Nota</t>
        </is>
      </c>
      <c r="H9" s="17" t="inlineStr">
        <is>
          <t>Parâmetros na aba Configuracoes</t>
        </is>
      </c>
    </row>
    <row r="11">
      <c r="A11" s="4" t="inlineStr">
        <is>
          <t>RESULTADOS PRINCIPAIS</t>
        </is>
      </c>
    </row>
    <row r="12">
      <c r="A12" s="8" t="inlineStr">
        <is>
          <t>Patrimônio projetado</t>
        </is>
      </c>
      <c r="B12" s="18">
        <f>FV(taxa_mensal,qtd_anos*12,-aporte,0,0)</f>
        <v/>
      </c>
    </row>
    <row r="13">
      <c r="A13" s="8" t="inlineStr">
        <is>
          <t>Dividendos mensais estimados</t>
        </is>
      </c>
      <c r="B13" s="18">
        <f>patrimonio*rendimento_carteira</f>
        <v/>
      </c>
    </row>
    <row r="14">
      <c r="A14" s="8" t="inlineStr">
        <is>
          <t>Total de aportes</t>
        </is>
      </c>
      <c r="B14" s="18">
        <f>aporte*qtd_anos*12</f>
        <v/>
      </c>
    </row>
    <row r="15">
      <c r="A15" s="8" t="inlineStr">
        <is>
          <t>Ganho projetado estimado</t>
        </is>
      </c>
      <c r="B15" s="18">
        <f>patrimonio-(aporte*qtd_anos*12)</f>
        <v/>
      </c>
    </row>
    <row r="18">
      <c r="A18" s="4" t="inlineStr">
        <is>
          <t>DISTRIBUIÇÃO DO APORTE POR TIPO DE FII</t>
        </is>
      </c>
    </row>
    <row r="19">
      <c r="A19" s="19" t="inlineStr">
        <is>
          <t>Tipo de FII</t>
        </is>
      </c>
      <c r="B19" s="19" t="inlineStr">
        <is>
          <t>Percentual</t>
        </is>
      </c>
      <c r="C19" s="19" t="inlineStr">
        <is>
          <t>Aporte mensal (R$)</t>
        </is>
      </c>
    </row>
    <row r="20">
      <c r="A20" s="20" t="inlineStr">
        <is>
          <t>PAPEL</t>
        </is>
      </c>
      <c r="B20" s="21">
        <f>IFERROR(VLOOKUP($B$9&amp;"-"&amp;A20,Apoio!$A$3:$D$20,4,FALSE),0)</f>
        <v/>
      </c>
      <c r="C20" s="22">
        <f>B20*aporte</f>
        <v/>
      </c>
    </row>
    <row r="21">
      <c r="A21" s="23" t="inlineStr">
        <is>
          <t>TIJOLO</t>
        </is>
      </c>
      <c r="B21" s="24">
        <f>IFERROR(VLOOKUP($B$9&amp;"-"&amp;A21,Apoio!$A$3:$D$20,4,FALSE),0)</f>
        <v/>
      </c>
      <c r="C21" s="25">
        <f>B21*aporte</f>
        <v/>
      </c>
    </row>
    <row r="22">
      <c r="A22" s="20" t="inlineStr">
        <is>
          <t>HÍBRIDOS</t>
        </is>
      </c>
      <c r="B22" s="21">
        <f>IFERROR(VLOOKUP($B$9&amp;"-"&amp;A22,Apoio!$A$3:$D$20,4,FALSE),0)</f>
        <v/>
      </c>
      <c r="C22" s="22">
        <f>B22*aporte</f>
        <v/>
      </c>
    </row>
    <row r="23">
      <c r="A23" s="23" t="inlineStr">
        <is>
          <t>FOFs</t>
        </is>
      </c>
      <c r="B23" s="24">
        <f>IFERROR(VLOOKUP($B$9&amp;"-"&amp;A23,Apoio!$A$3:$D$20,4,FALSE),0)</f>
        <v/>
      </c>
      <c r="C23" s="25">
        <f>B23*aporte</f>
        <v/>
      </c>
    </row>
    <row r="24">
      <c r="A24" s="20" t="inlineStr">
        <is>
          <t>DESENVOLVIMENTO</t>
        </is>
      </c>
      <c r="B24" s="21">
        <f>IFERROR(VLOOKUP($B$9&amp;"-"&amp;A24,Apoio!$A$3:$D$20,4,FALSE),0)</f>
        <v/>
      </c>
      <c r="C24" s="22">
        <f>B24*aporte</f>
        <v/>
      </c>
    </row>
    <row r="25">
      <c r="A25" s="23" t="inlineStr">
        <is>
          <t>HOTELARIAS</t>
        </is>
      </c>
      <c r="B25" s="24">
        <f>IFERROR(VLOOKUP($B$9&amp;"-"&amp;A25,Apoio!$A$3:$D$20,4,FALSE),0)</f>
        <v/>
      </c>
      <c r="C25" s="25">
        <f>B25*aporte</f>
        <v/>
      </c>
    </row>
    <row r="26">
      <c r="A26" s="26" t="inlineStr">
        <is>
          <t>TOTAL</t>
        </is>
      </c>
      <c r="B26" s="27">
        <f>SUM(B20:B25)</f>
        <v/>
      </c>
      <c r="C26" s="28">
        <f>SUM(C20:C25)</f>
        <v/>
      </c>
    </row>
    <row r="29">
      <c r="A29" s="4" t="inlineStr">
        <is>
          <t>CENÁRIOS DE LONGO PRAZO</t>
        </is>
      </c>
    </row>
    <row r="30">
      <c r="A30" s="29" t="inlineStr">
        <is>
          <t>Prazo (anos)</t>
        </is>
      </c>
      <c r="B30" s="29" t="inlineStr">
        <is>
          <t>Meses</t>
        </is>
      </c>
      <c r="C30" s="29" t="inlineStr">
        <is>
          <t>Total aportado</t>
        </is>
      </c>
      <c r="D30" s="29" t="inlineStr">
        <is>
          <t>Patrimônio projetado</t>
        </is>
      </c>
      <c r="E30" s="29" t="inlineStr">
        <is>
          <t>Dividendos/mês estimados</t>
        </is>
      </c>
    </row>
    <row r="31">
      <c r="A31" s="30" t="n">
        <v>2</v>
      </c>
      <c r="B31" s="30">
        <f>A31*12</f>
        <v/>
      </c>
      <c r="C31" s="31">
        <f>aporte*B31</f>
        <v/>
      </c>
      <c r="D31" s="31">
        <f>FV(taxa_mensal,B31,-aporte,0,0)</f>
        <v/>
      </c>
      <c r="E31" s="31">
        <f>D31*rendimento_carteira</f>
        <v/>
      </c>
    </row>
    <row r="32">
      <c r="A32" s="32" t="n">
        <v>5</v>
      </c>
      <c r="B32" s="32">
        <f>A32*12</f>
        <v/>
      </c>
      <c r="C32" s="33">
        <f>aporte*B32</f>
        <v/>
      </c>
      <c r="D32" s="33">
        <f>FV(taxa_mensal,B32,-aporte,0,0)</f>
        <v/>
      </c>
      <c r="E32" s="33">
        <f>D32*rendimento_carteira</f>
        <v/>
      </c>
    </row>
    <row r="33">
      <c r="A33" s="30" t="n">
        <v>10</v>
      </c>
      <c r="B33" s="30">
        <f>A33*12</f>
        <v/>
      </c>
      <c r="C33" s="31">
        <f>aporte*B33</f>
        <v/>
      </c>
      <c r="D33" s="31">
        <f>FV(taxa_mensal,B33,-aporte,0,0)</f>
        <v/>
      </c>
      <c r="E33" s="31">
        <f>D33*rendimento_carteira</f>
        <v/>
      </c>
    </row>
    <row r="34">
      <c r="A34" s="32" t="n">
        <v>20</v>
      </c>
      <c r="B34" s="32">
        <f>A34*12</f>
        <v/>
      </c>
      <c r="C34" s="33">
        <f>aporte*B34</f>
        <v/>
      </c>
      <c r="D34" s="33">
        <f>FV(taxa_mensal,B34,-aporte,0,0)</f>
        <v/>
      </c>
      <c r="E34" s="33">
        <f>D34*rendimento_carteira</f>
        <v/>
      </c>
    </row>
    <row r="35">
      <c r="A35" s="30" t="n">
        <v>30</v>
      </c>
      <c r="B35" s="30">
        <f>A35*12</f>
        <v/>
      </c>
      <c r="C35" s="31">
        <f>aporte*B35</f>
        <v/>
      </c>
      <c r="D35" s="31">
        <f>FV(taxa_mensal,B35,-aporte,0,0)</f>
        <v/>
      </c>
      <c r="E35" s="31">
        <f>D35*rendimento_carteira</f>
        <v/>
      </c>
    </row>
    <row r="38" ht="27" customHeight="1">
      <c r="A38" s="34" t="inlineStr">
        <is>
          <t>Simulação educacional: pressupõe taxa mensal constante e aportes no fim de cada mês. Os rendimentos reais dos FIIs variam; esta projeção não é garantia nem recomendação de investimento.</t>
        </is>
      </c>
    </row>
    <row r="39" ht="20" customHeight="1"/>
  </sheetData>
  <mergeCells count="8">
    <mergeCell ref="A3:H3"/>
    <mergeCell ref="A29:E29"/>
    <mergeCell ref="A11:C11"/>
    <mergeCell ref="A5:C5"/>
    <mergeCell ref="G5:H5"/>
    <mergeCell ref="A18:C18"/>
    <mergeCell ref="A1:H2"/>
    <mergeCell ref="A38:E39"/>
  </mergeCells>
  <conditionalFormatting sqref="B26">
    <cfRule type="cellIs" priority="1" operator="notEqual" dxfId="0">
      <formula>1</formula>
    </cfRule>
  </conditionalFormatting>
  <dataValidations count="1">
    <dataValidation sqref="B9" showDropDown="0" showInputMessage="0" showErrorMessage="0" allowBlank="0" errorTitle="Perfil inválido" error="Selecione um dos perfis disponíveis." promptTitle="Perfil do investidor" prompt="Escolha um perfil para atualizar a distribuição." type="list">
      <formula1>"Conservador,Moderado,Agressivo"</formula1>
    </dataValidation>
  </dataValidation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70" customWidth="1" min="3" max="3"/>
  </cols>
  <sheetData>
    <row r="1">
      <c r="A1" s="35" t="inlineStr">
        <is>
          <t>CONFIGURAÇÕES E PREMISSAS</t>
        </is>
      </c>
    </row>
    <row r="2"/>
    <row r="4">
      <c r="A4" s="36" t="inlineStr">
        <is>
          <t>Parâmetro</t>
        </is>
      </c>
      <c r="B4" s="36" t="inlineStr">
        <is>
          <t>Valor de exemplo</t>
        </is>
      </c>
      <c r="C4" s="36" t="inlineStr">
        <is>
          <t>Descrição</t>
        </is>
      </c>
    </row>
    <row r="5">
      <c r="A5" s="37" t="inlineStr">
        <is>
          <t>Salário mensal</t>
        </is>
      </c>
      <c r="B5" s="38" t="n">
        <v>2000</v>
      </c>
      <c r="C5" s="37" t="inlineStr">
        <is>
          <t>Valor fictício utilizado para demonstrar a sugestão de aporte.</t>
        </is>
      </c>
    </row>
    <row r="6">
      <c r="A6" s="39" t="inlineStr">
        <is>
          <t>Rendimento da carteira (mensal)</t>
        </is>
      </c>
      <c r="B6" s="40" t="n">
        <v>0.006</v>
      </c>
      <c r="C6" s="39" t="inlineStr">
        <is>
          <t>Taxa hipotética usada para estimar dividendos mensais sobre o patrimônio.</t>
        </is>
      </c>
    </row>
    <row r="7">
      <c r="A7" s="37" t="inlineStr">
        <is>
          <t>Percentual sugerido de aporte</t>
        </is>
      </c>
      <c r="B7" s="41" t="n">
        <v>0.3</v>
      </c>
      <c r="C7" s="37" t="inlineStr">
        <is>
          <t>Premissa didática de 30% do salário; não é recomendação financeira.</t>
        </is>
      </c>
    </row>
    <row r="8">
      <c r="A8" s="39" t="inlineStr">
        <is>
          <t>Sugestão de investimento</t>
        </is>
      </c>
      <c r="B8" s="42">
        <f>B5*B7</f>
        <v/>
      </c>
      <c r="C8" s="39" t="inlineStr">
        <is>
          <t>Resultado calculado: salário multiplicado pelo percentual sugerido.</t>
        </is>
      </c>
    </row>
    <row r="10" ht="28" customHeight="1">
      <c r="A10" s="43" t="inlineStr">
        <is>
          <t>Observação</t>
        </is>
      </c>
      <c r="B10" s="44" t="inlineStr">
        <is>
          <t>Todos os números são fictícios e servem apenas para demonstrar o funcionamento da planilha. Ajuste as premissas com cautela.</t>
        </is>
      </c>
    </row>
    <row r="11" ht="22" customHeight="1"/>
  </sheetData>
  <mergeCells count="2">
    <mergeCell ref="B10:C11"/>
    <mergeCell ref="A1:C2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23" customWidth="1" min="3" max="3"/>
    <col width="16" customWidth="1" min="4" max="4"/>
    <col width="22" customWidth="1" min="6" max="6"/>
    <col width="18" customWidth="1" min="7" max="7"/>
  </cols>
  <sheetData>
    <row r="1">
      <c r="A1" s="45" t="inlineStr">
        <is>
          <t>TABELA DE DISTRIBUIÇÃO POR PERFIL</t>
        </is>
      </c>
    </row>
    <row r="2">
      <c r="A2" s="36" t="inlineStr">
        <is>
          <t>Chave composta</t>
        </is>
      </c>
      <c r="B2" s="36" t="inlineStr">
        <is>
          <t>Perfil</t>
        </is>
      </c>
      <c r="C2" s="36" t="inlineStr">
        <is>
          <t>Tipo de FII</t>
        </is>
      </c>
      <c r="D2" s="36" t="inlineStr">
        <is>
          <t>Percentual</t>
        </is>
      </c>
      <c r="F2" s="46" t="inlineStr">
        <is>
          <t>Conferência dos perfis</t>
        </is>
      </c>
      <c r="G2" s="46" t="inlineStr">
        <is>
          <t>Total</t>
        </is>
      </c>
    </row>
    <row r="3">
      <c r="A3" s="47">
        <f>B3&amp;"-"&amp;C3</f>
        <v/>
      </c>
      <c r="B3" s="47" t="inlineStr">
        <is>
          <t>Conservador</t>
        </is>
      </c>
      <c r="C3" s="47" t="inlineStr">
        <is>
          <t>PAPEL</t>
        </is>
      </c>
      <c r="D3" s="48" t="n">
        <v>0.3</v>
      </c>
      <c r="F3" s="49" t="inlineStr">
        <is>
          <t>Conservador</t>
        </is>
      </c>
      <c r="G3" s="50">
        <f>SUMIF($B$3:$B$20,F3,$D$3:$D$20)</f>
        <v/>
      </c>
    </row>
    <row r="4">
      <c r="A4" s="51">
        <f>B4&amp;"-"&amp;C4</f>
        <v/>
      </c>
      <c r="B4" s="51" t="inlineStr">
        <is>
          <t>Conservador</t>
        </is>
      </c>
      <c r="C4" s="51" t="inlineStr">
        <is>
          <t>TIJOLO</t>
        </is>
      </c>
      <c r="D4" s="52" t="n">
        <v>0.5</v>
      </c>
      <c r="F4" s="49" t="inlineStr">
        <is>
          <t>Moderado</t>
        </is>
      </c>
      <c r="G4" s="50">
        <f>SUMIF($B$3:$B$20,F4,$D$3:$D$20)</f>
        <v/>
      </c>
    </row>
    <row r="5">
      <c r="A5" s="47">
        <f>B5&amp;"-"&amp;C5</f>
        <v/>
      </c>
      <c r="B5" s="47" t="inlineStr">
        <is>
          <t>Conservador</t>
        </is>
      </c>
      <c r="C5" s="47" t="inlineStr">
        <is>
          <t>HÍBRIDOS</t>
        </is>
      </c>
      <c r="D5" s="48" t="n">
        <v>0.1</v>
      </c>
      <c r="F5" s="49" t="inlineStr">
        <is>
          <t>Agressivo</t>
        </is>
      </c>
      <c r="G5" s="50">
        <f>SUMIF($B$3:$B$20,F5,$D$3:$D$20)</f>
        <v/>
      </c>
    </row>
    <row r="6">
      <c r="A6" s="51">
        <f>B6&amp;"-"&amp;C6</f>
        <v/>
      </c>
      <c r="B6" s="51" t="inlineStr">
        <is>
          <t>Conservador</t>
        </is>
      </c>
      <c r="C6" s="51" t="inlineStr">
        <is>
          <t>FOFs</t>
        </is>
      </c>
      <c r="D6" s="52" t="n">
        <v>0.1</v>
      </c>
    </row>
    <row r="7">
      <c r="A7" s="47">
        <f>B7&amp;"-"&amp;C7</f>
        <v/>
      </c>
      <c r="B7" s="47" t="inlineStr">
        <is>
          <t>Conservador</t>
        </is>
      </c>
      <c r="C7" s="47" t="inlineStr">
        <is>
          <t>DESENVOLVIMENTO</t>
        </is>
      </c>
      <c r="D7" s="48" t="n">
        <v>0</v>
      </c>
    </row>
    <row r="8">
      <c r="A8" s="51">
        <f>B8&amp;"-"&amp;C8</f>
        <v/>
      </c>
      <c r="B8" s="51" t="inlineStr">
        <is>
          <t>Conservador</t>
        </is>
      </c>
      <c r="C8" s="51" t="inlineStr">
        <is>
          <t>HOTELARIAS</t>
        </is>
      </c>
      <c r="D8" s="52" t="n">
        <v>0</v>
      </c>
      <c r="F8" s="53" t="inlineStr">
        <is>
          <t>Os percentuais foram adaptados da tabela de referência do arquivo do Expert fornecido no desafio. São exemplos didáticos, não recomendação de investimento.</t>
        </is>
      </c>
    </row>
    <row r="9">
      <c r="A9" s="47">
        <f>B9&amp;"-"&amp;C9</f>
        <v/>
      </c>
      <c r="B9" s="47" t="inlineStr">
        <is>
          <t>Moderado</t>
        </is>
      </c>
      <c r="C9" s="47" t="inlineStr">
        <is>
          <t>PAPEL</t>
        </is>
      </c>
      <c r="D9" s="48" t="n">
        <v>0.32</v>
      </c>
    </row>
    <row r="10">
      <c r="A10" s="51">
        <f>B10&amp;"-"&amp;C10</f>
        <v/>
      </c>
      <c r="B10" s="51" t="inlineStr">
        <is>
          <t>Moderado</t>
        </is>
      </c>
      <c r="C10" s="51" t="inlineStr">
        <is>
          <t>TIJOLO</t>
        </is>
      </c>
      <c r="D10" s="52" t="n">
        <v>0.35</v>
      </c>
    </row>
    <row r="11">
      <c r="A11" s="47">
        <f>B11&amp;"-"&amp;C11</f>
        <v/>
      </c>
      <c r="B11" s="47" t="inlineStr">
        <is>
          <t>Moderado</t>
        </is>
      </c>
      <c r="C11" s="47" t="inlineStr">
        <is>
          <t>HÍBRIDOS</t>
        </is>
      </c>
      <c r="D11" s="48" t="n">
        <v>0.08</v>
      </c>
    </row>
    <row r="12">
      <c r="A12" s="51">
        <f>B12&amp;"-"&amp;C12</f>
        <v/>
      </c>
      <c r="B12" s="51" t="inlineStr">
        <is>
          <t>Moderado</t>
        </is>
      </c>
      <c r="C12" s="51" t="inlineStr">
        <is>
          <t>FOFs</t>
        </is>
      </c>
      <c r="D12" s="52" t="n">
        <v>0.05</v>
      </c>
    </row>
    <row r="13">
      <c r="A13" s="47">
        <f>B13&amp;"-"&amp;C13</f>
        <v/>
      </c>
      <c r="B13" s="47" t="inlineStr">
        <is>
          <t>Moderado</t>
        </is>
      </c>
      <c r="C13" s="47" t="inlineStr">
        <is>
          <t>DESENVOLVIMENTO</t>
        </is>
      </c>
      <c r="D13" s="48" t="n">
        <v>0.1</v>
      </c>
    </row>
    <row r="14">
      <c r="A14" s="51">
        <f>B14&amp;"-"&amp;C14</f>
        <v/>
      </c>
      <c r="B14" s="51" t="inlineStr">
        <is>
          <t>Moderado</t>
        </is>
      </c>
      <c r="C14" s="51" t="inlineStr">
        <is>
          <t>HOTELARIAS</t>
        </is>
      </c>
      <c r="D14" s="52" t="n">
        <v>0.1</v>
      </c>
    </row>
    <row r="15">
      <c r="A15" s="47">
        <f>B15&amp;"-"&amp;C15</f>
        <v/>
      </c>
      <c r="B15" s="47" t="inlineStr">
        <is>
          <t>Agressivo</t>
        </is>
      </c>
      <c r="C15" s="47" t="inlineStr">
        <is>
          <t>PAPEL</t>
        </is>
      </c>
      <c r="D15" s="48" t="n">
        <v>0.5</v>
      </c>
    </row>
    <row r="16">
      <c r="A16" s="51">
        <f>B16&amp;"-"&amp;C16</f>
        <v/>
      </c>
      <c r="B16" s="51" t="inlineStr">
        <is>
          <t>Agressivo</t>
        </is>
      </c>
      <c r="C16" s="51" t="inlineStr">
        <is>
          <t>TIJOLO</t>
        </is>
      </c>
      <c r="D16" s="52" t="n">
        <v>0.1</v>
      </c>
    </row>
    <row r="17">
      <c r="A17" s="47">
        <f>B17&amp;"-"&amp;C17</f>
        <v/>
      </c>
      <c r="B17" s="47" t="inlineStr">
        <is>
          <t>Agressivo</t>
        </is>
      </c>
      <c r="C17" s="47" t="inlineStr">
        <is>
          <t>HÍBRIDOS</t>
        </is>
      </c>
      <c r="D17" s="48" t="n">
        <v>0.05</v>
      </c>
    </row>
    <row r="18">
      <c r="A18" s="51">
        <f>B18&amp;"-"&amp;C18</f>
        <v/>
      </c>
      <c r="B18" s="51" t="inlineStr">
        <is>
          <t>Agressivo</t>
        </is>
      </c>
      <c r="C18" s="51" t="inlineStr">
        <is>
          <t>FOFs</t>
        </is>
      </c>
      <c r="D18" s="52" t="n">
        <v>0.05</v>
      </c>
    </row>
    <row r="19">
      <c r="A19" s="47">
        <f>B19&amp;"-"&amp;C19</f>
        <v/>
      </c>
      <c r="B19" s="47" t="inlineStr">
        <is>
          <t>Agressivo</t>
        </is>
      </c>
      <c r="C19" s="47" t="inlineStr">
        <is>
          <t>DESENVOLVIMENTO</t>
        </is>
      </c>
      <c r="D19" s="48" t="n">
        <v>0.2</v>
      </c>
    </row>
    <row r="20">
      <c r="A20" s="51">
        <f>B20&amp;"-"&amp;C20</f>
        <v/>
      </c>
      <c r="B20" s="51" t="inlineStr">
        <is>
          <t>Agressivo</t>
        </is>
      </c>
      <c r="C20" s="51" t="inlineStr">
        <is>
          <t>HOTELARIAS</t>
        </is>
      </c>
      <c r="D20" s="52" t="n">
        <v>0.1</v>
      </c>
    </row>
  </sheetData>
  <mergeCells count="2">
    <mergeCell ref="A1:D1"/>
    <mergeCell ref="F8:G10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2026-10-19T21:33:34Z</dcterms:created>
  <dcterms:modified xmlns:dcterms="http://purl.org/dc/terms/" xmlns:xsi="http://www.w3.org/2001/XMLSchema-instance" xsi:type="dcterms:W3CDTF">2026-10-19T21:33:47Z</dcterms:modified>
</cp:coreProperties>
</file>